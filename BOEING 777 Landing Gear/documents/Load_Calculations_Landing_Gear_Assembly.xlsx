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DC2EFCD-EFA9-4433-9B59-4534D0E0F9C5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Calculations" sheetId="1" r:id="rId1"/>
    <sheet name="Manual FE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7" i="1" l="1"/>
  <c r="F26" i="1"/>
  <c r="F27" i="1" s="1"/>
  <c r="F28" i="1" s="1"/>
  <c r="B28" i="2"/>
  <c r="B27" i="2"/>
  <c r="B11" i="2"/>
  <c r="J6" i="2"/>
  <c r="B13" i="2" s="1"/>
  <c r="B36" i="2" s="1"/>
  <c r="C36" i="2" s="1"/>
  <c r="J5" i="2"/>
  <c r="B12" i="2" s="1"/>
  <c r="B35" i="2" s="1"/>
  <c r="C35" i="2" s="1"/>
  <c r="B34" i="2" l="1"/>
  <c r="C34" i="2" s="1"/>
  <c r="C38" i="2" s="1"/>
  <c r="C39" i="2" s="1"/>
  <c r="B15" i="2"/>
  <c r="B16" i="2" s="1"/>
  <c r="E34" i="2"/>
  <c r="D27" i="2"/>
  <c r="E35" i="2"/>
  <c r="D28" i="2"/>
  <c r="F34" i="1"/>
  <c r="F32" i="1"/>
  <c r="F48" i="1" l="1"/>
  <c r="F40" i="1"/>
  <c r="F35" i="1"/>
  <c r="F43" i="1" s="1"/>
  <c r="F33" i="1"/>
  <c r="F42" i="1"/>
  <c r="F37" i="1"/>
  <c r="F45" i="1" s="1"/>
  <c r="E38" i="2"/>
  <c r="E39" i="2" s="1"/>
  <c r="B41" i="2" s="1"/>
  <c r="B42" i="2" s="1"/>
  <c r="B43" i="2"/>
  <c r="F41" i="1" l="1"/>
  <c r="F36" i="1"/>
  <c r="F44" i="1" s="1"/>
</calcChain>
</file>

<file path=xl/sharedStrings.xml><?xml version="1.0" encoding="utf-8"?>
<sst xmlns="http://schemas.openxmlformats.org/spreadsheetml/2006/main" count="82" uniqueCount="66">
  <si>
    <t>Constants &amp; Assumptions</t>
  </si>
  <si>
    <t>Gravitational Constant</t>
  </si>
  <si>
    <t>Maximum Landing Weight (MLW)</t>
  </si>
  <si>
    <t>Main Gear Load Share %</t>
  </si>
  <si>
    <t>Wheel Configuration</t>
  </si>
  <si>
    <t>No. of Gear Legs</t>
  </si>
  <si>
    <t>Wheels per Main Leg</t>
  </si>
  <si>
    <t>Factor of Safety</t>
  </si>
  <si>
    <t>Bogie-Beam Load Sharing</t>
  </si>
  <si>
    <t>FORCE LOAD VALUES</t>
  </si>
  <si>
    <t>Vertical Load Limit</t>
  </si>
  <si>
    <t>Braking Coefficient of Friction</t>
  </si>
  <si>
    <t>Side Load Factor (Crosswind)</t>
  </si>
  <si>
    <t>Boeing Maximum Tyre Load</t>
  </si>
  <si>
    <t>Factor of Safety will be performed in Fusion 360 Simulation Analysis</t>
  </si>
  <si>
    <t xml:space="preserve">Assumes equal distribution of forces to all axel stubs of bogie-beam. </t>
  </si>
  <si>
    <t>Maximum Value of Mass applied to tyres from BOEING safety standards</t>
  </si>
  <si>
    <t>STATIC VALUES</t>
  </si>
  <si>
    <t>Total Aircraft Weight</t>
  </si>
  <si>
    <t>Vertical Load on main gear</t>
  </si>
  <si>
    <t>Vertical Load per wheel</t>
  </si>
  <si>
    <t>Main Gear Wheel Loads</t>
  </si>
  <si>
    <t>Vertical F_z</t>
  </si>
  <si>
    <t>Braking F_x</t>
  </si>
  <si>
    <t>Crosswind F_y</t>
  </si>
  <si>
    <t>Vertical F_z Ultimate Limit (FoS)</t>
  </si>
  <si>
    <t>Braking F_x  Ultimate Limit (FoS)</t>
  </si>
  <si>
    <t>Crosswind F_y Ultimate Limit (FoS)</t>
  </si>
  <si>
    <t>Total Gear Wheel Load</t>
  </si>
  <si>
    <t xml:space="preserve">Minimum Safety Check </t>
  </si>
  <si>
    <t>Calculated F_z Limit as % of Tyre Load</t>
  </si>
  <si>
    <t xml:space="preserve">// Assumed Load is LARGER than Tyre Rated Load. This means Vertical Load Limit </t>
  </si>
  <si>
    <t>// is an overestimate to force experience during landing</t>
  </si>
  <si>
    <t>Forces</t>
  </si>
  <si>
    <t>Moment of Inertia</t>
  </si>
  <si>
    <t>POI</t>
  </si>
  <si>
    <t>Internal Moment</t>
  </si>
  <si>
    <t>x</t>
  </si>
  <si>
    <t>Braking</t>
  </si>
  <si>
    <t>(Area)</t>
  </si>
  <si>
    <t>y</t>
  </si>
  <si>
    <t>Lateral</t>
  </si>
  <si>
    <t>I_y</t>
  </si>
  <si>
    <t>M_y</t>
  </si>
  <si>
    <t>z</t>
  </si>
  <si>
    <t>Vertical</t>
  </si>
  <si>
    <t>I_z</t>
  </si>
  <si>
    <t>M_z</t>
  </si>
  <si>
    <t>BENDING STRESS</t>
  </si>
  <si>
    <t>TOTAL</t>
  </si>
  <si>
    <t>Total MPA</t>
  </si>
  <si>
    <t>At Corner VM = O_total</t>
  </si>
  <si>
    <t>SHEAR STRESS</t>
  </si>
  <si>
    <t>HRB Dimensions</t>
  </si>
  <si>
    <t>V</t>
  </si>
  <si>
    <t>I</t>
  </si>
  <si>
    <t>t</t>
  </si>
  <si>
    <t>Q</t>
  </si>
  <si>
    <t>B</t>
  </si>
  <si>
    <t>H</t>
  </si>
  <si>
    <t>b</t>
  </si>
  <si>
    <t>h</t>
  </si>
  <si>
    <t>sigma</t>
  </si>
  <si>
    <t>MPA</t>
  </si>
  <si>
    <t>Von Mises Stress</t>
  </si>
  <si>
    <t>VON MISES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</si>
</sst>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3">
    <font>
      <sz val="11"/>
      <color theme="1"/>
      <name val="Calibri"/>
      <family val="2"/>
      <charset val="1"/>
    </font>
    <font>
      <b/>
      <sz val="12"/>
      <color rgb="FFFFFFFF"/>
      <name val="Segoe UI"/>
      <charset val="1"/>
    </font>
    <font>
      <b/>
      <sz val="11"/>
      <color rgb="FF333333"/>
      <name val="Segoe UI"/>
      <charset val="1"/>
    </font>
    <font>
      <sz val="11"/>
      <color rgb="FF000000"/>
      <name val="Segoe UI"/>
      <charset val="1"/>
    </font>
    <font>
      <i/>
      <sz val="10"/>
      <color rgb="FF666666"/>
      <name val="Segoe UI"/>
      <charset val="1"/>
    </font>
    <font>
      <i/>
      <sz val="10"/>
      <color theme="1"/>
      <name val="Segoe UI"/>
      <charset val="1"/>
    </font>
    <font>
      <i/>
      <sz val="10"/>
      <color theme="0"/>
      <name val="Segoe UI"/>
      <charset val="1"/>
    </font>
    <font>
      <sz val="11"/>
      <color theme="0"/>
      <name val="Calibri"/>
      <family val="2"/>
      <charset val="1"/>
    </font>
    <font>
      <i/>
      <sz val="10"/>
      <color theme="1"/>
      <name val="Segoe UI Historic"/>
      <charset val="1"/>
    </font>
    <font>
      <i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333333"/>
      <name val="Segoe UI"/>
      <charset val="1"/>
    </font>
    <font>
      <b/>
      <sz val="11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theme="7" tint="0.59987182226020086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6" tint="0.39988402966399123"/>
        <bgColor rgb="FFDDDDDD"/>
      </patternFill>
    </fill>
    <fill>
      <patternFill patternType="solid">
        <fgColor theme="4" tint="0.39988402966399123"/>
        <bgColor rgb="FF9DC3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2" fontId="0" fillId="0" borderId="0" xfId="0" applyNumberFormat="1"/>
    <xf numFmtId="0" fontId="6" fillId="4" borderId="0" xfId="0" applyFont="1" applyFill="1" applyAlignment="1">
      <alignment vertical="top" wrapText="1"/>
    </xf>
    <xf numFmtId="0" fontId="7" fillId="4" borderId="0" xfId="0" applyFont="1" applyFill="1"/>
    <xf numFmtId="0" fontId="5" fillId="4" borderId="0" xfId="0" applyFont="1" applyFill="1" applyAlignment="1">
      <alignment vertical="top" wrapText="1"/>
    </xf>
    <xf numFmtId="0" fontId="0" fillId="4" borderId="0" xfId="0" applyFill="1"/>
    <xf numFmtId="4" fontId="0" fillId="0" borderId="0" xfId="0" applyNumberFormat="1"/>
    <xf numFmtId="4" fontId="0" fillId="2" borderId="0" xfId="0" applyNumberFormat="1" applyFill="1"/>
    <xf numFmtId="4" fontId="3" fillId="5" borderId="1" xfId="0" applyNumberFormat="1" applyFont="1" applyFill="1" applyBorder="1" applyAlignment="1">
      <alignment horizontal="right" vertical="center"/>
    </xf>
    <xf numFmtId="0" fontId="8" fillId="6" borderId="0" xfId="0" applyFont="1" applyFill="1"/>
    <xf numFmtId="0" fontId="4" fillId="6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9" fillId="0" borderId="0" xfId="0" applyFont="1"/>
    <xf numFmtId="0" fontId="10" fillId="7" borderId="2" xfId="0" applyFont="1" applyFill="1" applyBorder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12" fillId="0" borderId="1" xfId="0" applyNumberFormat="1" applyFont="1" applyBorder="1" applyAlignment="1">
      <alignment horizontal="right" vertical="center"/>
    </xf>
    <xf numFmtId="2" fontId="12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1" fontId="3" fillId="0" borderId="1" xfId="0" applyNumberFormat="1" applyFont="1" applyBorder="1" applyAlignment="1">
      <alignment horizontal="right" vertical="center"/>
    </xf>
    <xf numFmtId="11" fontId="12" fillId="0" borderId="1" xfId="0" applyNumberFormat="1" applyFont="1" applyBorder="1" applyAlignment="1">
      <alignment horizontal="right" vertical="center"/>
    </xf>
    <xf numFmtId="2" fontId="12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2037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1"/>
  <sheetViews>
    <sheetView showGridLines="0" topLeftCell="A6" zoomScaleNormal="100" workbookViewId="0">
      <selection activeCell="H7" sqref="H7"/>
    </sheetView>
  </sheetViews>
  <sheetFormatPr defaultColWidth="8.7109375" defaultRowHeight="15"/>
  <cols>
    <col min="1" max="1" width="13" hidden="1" customWidth="1"/>
    <col min="2" max="2" width="45" customWidth="1"/>
    <col min="3" max="5" width="13" hidden="1" customWidth="1"/>
    <col min="6" max="6" width="25" customWidth="1"/>
    <col min="7" max="7" width="50" customWidth="1"/>
  </cols>
  <sheetData>
    <row r="2" spans="2:6" ht="17.25" customHeight="1">
      <c r="B2" s="1" t="s">
        <v>0</v>
      </c>
      <c r="C2" s="2"/>
      <c r="D2" s="2"/>
      <c r="E2" s="2"/>
      <c r="F2" s="2"/>
    </row>
    <row r="4" spans="2:6" ht="16.5" customHeight="1">
      <c r="B4" s="34" t="s">
        <v>1</v>
      </c>
      <c r="C4" s="34"/>
      <c r="D4" s="34"/>
      <c r="E4" s="34"/>
      <c r="F4" s="3">
        <v>9.81</v>
      </c>
    </row>
    <row r="5" spans="2:6" ht="16.5" customHeight="1">
      <c r="B5" s="34" t="s">
        <v>2</v>
      </c>
      <c r="C5" s="34"/>
      <c r="D5" s="34"/>
      <c r="E5" s="34"/>
      <c r="F5" s="3">
        <v>251290</v>
      </c>
    </row>
    <row r="6" spans="2:6" ht="16.5" customHeight="1">
      <c r="B6" s="34" t="s">
        <v>3</v>
      </c>
      <c r="C6" s="34"/>
      <c r="D6" s="34"/>
      <c r="E6" s="34"/>
      <c r="F6" s="4">
        <v>90</v>
      </c>
    </row>
    <row r="7" spans="2:6" ht="15" customHeight="1">
      <c r="B7" s="35"/>
      <c r="C7" s="35"/>
      <c r="D7" s="35"/>
      <c r="E7" s="35"/>
    </row>
    <row r="8" spans="2:6" ht="17.25" customHeight="1">
      <c r="B8" s="36" t="s">
        <v>4</v>
      </c>
      <c r="C8" s="36"/>
      <c r="D8" s="36"/>
      <c r="E8" s="36"/>
      <c r="F8" s="2"/>
    </row>
    <row r="9" spans="2:6" ht="16.5" customHeight="1">
      <c r="B9" s="34" t="s">
        <v>5</v>
      </c>
      <c r="C9" s="34"/>
      <c r="D9" s="34"/>
      <c r="E9" s="34"/>
      <c r="F9" s="3">
        <v>2</v>
      </c>
    </row>
    <row r="10" spans="2:6" ht="16.5" customHeight="1">
      <c r="B10" s="34" t="s">
        <v>6</v>
      </c>
      <c r="C10" s="34"/>
      <c r="D10" s="34"/>
      <c r="E10" s="34"/>
      <c r="F10" s="3">
        <v>6</v>
      </c>
    </row>
    <row r="11" spans="2:6" ht="16.5" customHeight="1">
      <c r="B11" s="34" t="s">
        <v>7</v>
      </c>
      <c r="C11" s="34"/>
      <c r="D11" s="34"/>
      <c r="E11" s="34"/>
      <c r="F11" s="3">
        <v>2.5</v>
      </c>
    </row>
    <row r="12" spans="2:6" ht="16.5" customHeight="1">
      <c r="B12" s="34" t="s">
        <v>8</v>
      </c>
      <c r="C12" s="34"/>
      <c r="D12" s="34"/>
      <c r="E12" s="34"/>
      <c r="F12" s="3">
        <v>0.16666666666666699</v>
      </c>
    </row>
    <row r="13" spans="2:6" ht="15" customHeight="1">
      <c r="B13" s="35"/>
      <c r="C13" s="35"/>
      <c r="D13" s="35"/>
      <c r="E13" s="35"/>
      <c r="F13" s="5"/>
    </row>
    <row r="14" spans="2:6" ht="17.25" customHeight="1">
      <c r="B14" s="36" t="s">
        <v>9</v>
      </c>
      <c r="C14" s="36"/>
      <c r="D14" s="36"/>
      <c r="E14" s="36"/>
      <c r="F14" s="2"/>
    </row>
    <row r="15" spans="2:6" ht="16.5" customHeight="1">
      <c r="B15" s="34" t="s">
        <v>10</v>
      </c>
      <c r="C15" s="34"/>
      <c r="D15" s="34"/>
      <c r="E15" s="34"/>
      <c r="F15" s="3">
        <v>2.5</v>
      </c>
    </row>
    <row r="16" spans="2:6" ht="16.5" customHeight="1">
      <c r="B16" s="34" t="s">
        <v>11</v>
      </c>
      <c r="C16" s="34"/>
      <c r="D16" s="34"/>
      <c r="E16" s="34"/>
      <c r="F16" s="3">
        <v>0.8</v>
      </c>
    </row>
    <row r="17" spans="2:13" ht="16.5" customHeight="1">
      <c r="B17" s="34" t="s">
        <v>12</v>
      </c>
      <c r="C17" s="34"/>
      <c r="D17" s="34"/>
      <c r="E17" s="34"/>
      <c r="F17" s="3">
        <v>0.5</v>
      </c>
    </row>
    <row r="18" spans="2:13" ht="16.5" customHeight="1">
      <c r="B18" s="34" t="s">
        <v>13</v>
      </c>
      <c r="C18" s="34"/>
      <c r="D18" s="34"/>
      <c r="E18" s="34"/>
      <c r="F18" s="3">
        <v>26980</v>
      </c>
    </row>
    <row r="19" spans="2:13" ht="15" customHeight="1">
      <c r="B19" s="35"/>
      <c r="C19" s="35"/>
      <c r="D19" s="35"/>
      <c r="E19" s="35"/>
    </row>
    <row r="20" spans="2:13" ht="15" customHeight="1">
      <c r="B20" s="37" t="s">
        <v>14</v>
      </c>
      <c r="C20" s="37"/>
      <c r="D20" s="37"/>
      <c r="E20" s="37"/>
      <c r="F20" s="37"/>
    </row>
    <row r="21" spans="2:13" ht="17.25" customHeight="1">
      <c r="B21" s="38" t="s">
        <v>15</v>
      </c>
      <c r="C21" s="38"/>
      <c r="D21" s="38"/>
      <c r="E21" s="38"/>
      <c r="F21" s="38"/>
      <c r="G21" s="6"/>
      <c r="H21" s="6"/>
      <c r="I21" s="6"/>
      <c r="J21" s="6"/>
      <c r="K21" s="6"/>
      <c r="L21" s="6"/>
      <c r="M21" s="6"/>
    </row>
    <row r="22" spans="2:13" ht="15" customHeight="1">
      <c r="B22" s="38" t="s">
        <v>16</v>
      </c>
      <c r="C22" s="38"/>
      <c r="D22" s="38"/>
      <c r="E22" s="38"/>
      <c r="F22" s="38"/>
      <c r="G22" s="7"/>
      <c r="H22" s="7"/>
      <c r="I22" s="7"/>
      <c r="J22" s="7"/>
      <c r="K22" s="7"/>
      <c r="L22" s="7"/>
      <c r="M22" s="7"/>
    </row>
    <row r="23" spans="2:13" ht="13.5" customHeight="1">
      <c r="B23" s="8"/>
      <c r="C23" s="9"/>
      <c r="D23" s="9"/>
      <c r="E23" s="9"/>
      <c r="F23" s="7"/>
      <c r="G23" s="7"/>
      <c r="H23" s="7"/>
      <c r="I23" s="7"/>
      <c r="J23" s="7"/>
      <c r="K23" s="7"/>
      <c r="L23" s="7"/>
      <c r="M23" s="7"/>
    </row>
    <row r="24" spans="2:13" ht="15" customHeight="1">
      <c r="B24" s="39"/>
      <c r="C24" s="39"/>
      <c r="D24" s="39"/>
      <c r="E24" s="39"/>
      <c r="F24" s="9"/>
      <c r="G24" s="9"/>
      <c r="H24" s="9"/>
      <c r="I24" s="9"/>
      <c r="J24" s="9"/>
      <c r="K24" s="9"/>
      <c r="L24" s="9"/>
      <c r="M24" s="9"/>
    </row>
    <row r="25" spans="2:13" ht="15" customHeight="1">
      <c r="B25" s="36" t="s">
        <v>17</v>
      </c>
      <c r="C25" s="36"/>
      <c r="D25" s="36"/>
      <c r="E25" s="36"/>
      <c r="F25" s="2"/>
    </row>
    <row r="26" spans="2:13" ht="15" customHeight="1">
      <c r="B26" s="34" t="s">
        <v>18</v>
      </c>
      <c r="C26" s="34"/>
      <c r="D26" s="34"/>
      <c r="E26" s="34"/>
      <c r="F26" s="3">
        <f>F5*F4</f>
        <v>2465154.9</v>
      </c>
    </row>
    <row r="27" spans="2:13" ht="15" customHeight="1">
      <c r="B27" s="34" t="s">
        <v>19</v>
      </c>
      <c r="C27" s="34"/>
      <c r="D27" s="34"/>
      <c r="E27" s="34"/>
      <c r="F27" s="3">
        <f>F26/2</f>
        <v>1232577.45</v>
      </c>
    </row>
    <row r="28" spans="2:13" ht="15" customHeight="1">
      <c r="B28" s="34" t="s">
        <v>20</v>
      </c>
      <c r="C28" s="34"/>
      <c r="D28" s="34"/>
      <c r="E28" s="34"/>
      <c r="F28" s="3">
        <f>(F27/6)</f>
        <v>205429.57499999998</v>
      </c>
    </row>
    <row r="29" spans="2:13" ht="15" customHeight="1">
      <c r="B29" s="35"/>
      <c r="C29" s="35"/>
      <c r="D29" s="35"/>
      <c r="E29" s="35"/>
      <c r="F29" s="10"/>
    </row>
    <row r="30" spans="2:13" ht="15" customHeight="1">
      <c r="B30" s="35"/>
      <c r="C30" s="35"/>
      <c r="D30" s="35"/>
      <c r="E30" s="35"/>
      <c r="F30" s="10"/>
    </row>
    <row r="31" spans="2:13" ht="15" customHeight="1">
      <c r="B31" s="36" t="s">
        <v>21</v>
      </c>
      <c r="C31" s="36"/>
      <c r="D31" s="36"/>
      <c r="E31" s="36"/>
      <c r="F31" s="11"/>
    </row>
    <row r="32" spans="2:13" ht="15" customHeight="1">
      <c r="B32" s="34" t="s">
        <v>22</v>
      </c>
      <c r="C32" s="34"/>
      <c r="D32" s="34"/>
      <c r="E32" s="34"/>
      <c r="F32" s="12">
        <f>F28*F15</f>
        <v>513573.93749999994</v>
      </c>
    </row>
    <row r="33" spans="2:6" ht="15" customHeight="1">
      <c r="B33" s="34" t="s">
        <v>23</v>
      </c>
      <c r="C33" s="34"/>
      <c r="D33" s="34"/>
      <c r="E33" s="34"/>
      <c r="F33" s="12">
        <f>F32*F16</f>
        <v>410859.14999999997</v>
      </c>
    </row>
    <row r="34" spans="2:6" ht="15" customHeight="1">
      <c r="B34" s="34" t="s">
        <v>24</v>
      </c>
      <c r="C34" s="34"/>
      <c r="D34" s="34"/>
      <c r="E34" s="34"/>
      <c r="F34" s="12">
        <f>F28*F17</f>
        <v>102714.78749999999</v>
      </c>
    </row>
    <row r="35" spans="2:6" ht="15" customHeight="1">
      <c r="B35" s="34" t="s">
        <v>25</v>
      </c>
      <c r="C35" s="34"/>
      <c r="D35" s="34"/>
      <c r="E35" s="34"/>
      <c r="F35" s="3">
        <f>F32*F11</f>
        <v>1283934.8437499998</v>
      </c>
    </row>
    <row r="36" spans="2:6" ht="15" customHeight="1">
      <c r="B36" s="34" t="s">
        <v>26</v>
      </c>
      <c r="C36" s="34"/>
      <c r="D36" s="34"/>
      <c r="E36" s="34"/>
      <c r="F36" s="3">
        <f>F33*F11</f>
        <v>1027147.8749999999</v>
      </c>
    </row>
    <row r="37" spans="2:6" ht="15" customHeight="1">
      <c r="B37" s="34" t="s">
        <v>27</v>
      </c>
      <c r="C37" s="34"/>
      <c r="D37" s="34"/>
      <c r="E37" s="34"/>
      <c r="F37" s="3">
        <f>F34*F11</f>
        <v>256786.96874999997</v>
      </c>
    </row>
    <row r="38" spans="2:6" ht="15" customHeight="1">
      <c r="B38" s="35"/>
      <c r="C38" s="35"/>
      <c r="D38" s="35"/>
      <c r="E38" s="35"/>
    </row>
    <row r="39" spans="2:6" ht="17.25" customHeight="1">
      <c r="B39" s="36" t="s">
        <v>28</v>
      </c>
      <c r="C39" s="36"/>
      <c r="D39" s="36"/>
      <c r="E39" s="36"/>
      <c r="F39" s="2"/>
    </row>
    <row r="40" spans="2:6" ht="15" customHeight="1">
      <c r="B40" s="34" t="s">
        <v>22</v>
      </c>
      <c r="C40" s="34"/>
      <c r="D40" s="34"/>
      <c r="E40" s="34"/>
      <c r="F40" s="3">
        <f>F32*6</f>
        <v>3081443.6249999995</v>
      </c>
    </row>
    <row r="41" spans="2:6" ht="15" customHeight="1">
      <c r="B41" s="34" t="s">
        <v>23</v>
      </c>
      <c r="C41" s="34"/>
      <c r="D41" s="34"/>
      <c r="E41" s="34"/>
      <c r="F41" s="3">
        <f>F33*6</f>
        <v>2465154.9</v>
      </c>
    </row>
    <row r="42" spans="2:6" ht="15" customHeight="1">
      <c r="B42" s="34" t="s">
        <v>24</v>
      </c>
      <c r="C42" s="34"/>
      <c r="D42" s="34"/>
      <c r="E42" s="34"/>
      <c r="F42" s="3">
        <f>F34*6</f>
        <v>616288.72499999998</v>
      </c>
    </row>
    <row r="43" spans="2:6" ht="15" customHeight="1">
      <c r="B43" s="34" t="s">
        <v>25</v>
      </c>
      <c r="C43" s="34"/>
      <c r="D43" s="34"/>
      <c r="E43" s="34"/>
      <c r="F43" s="3">
        <f>F35*6</f>
        <v>7703609.0624999981</v>
      </c>
    </row>
    <row r="44" spans="2:6" ht="15" customHeight="1">
      <c r="B44" s="34" t="s">
        <v>26</v>
      </c>
      <c r="C44" s="34"/>
      <c r="D44" s="34"/>
      <c r="E44" s="34"/>
      <c r="F44" s="3">
        <f>F36*6</f>
        <v>6162887.2499999991</v>
      </c>
    </row>
    <row r="45" spans="2:6" ht="15" customHeight="1">
      <c r="B45" s="34" t="s">
        <v>27</v>
      </c>
      <c r="C45" s="34"/>
      <c r="D45" s="34"/>
      <c r="E45" s="34"/>
      <c r="F45" s="3">
        <f>F37*6</f>
        <v>1540721.8124999998</v>
      </c>
    </row>
    <row r="46" spans="2:6" ht="15" customHeight="1">
      <c r="B46" s="35"/>
      <c r="C46" s="35"/>
      <c r="D46" s="35"/>
      <c r="E46" s="35"/>
    </row>
    <row r="47" spans="2:6" ht="15" customHeight="1">
      <c r="B47" s="36" t="s">
        <v>29</v>
      </c>
      <c r="C47" s="36"/>
      <c r="D47" s="36"/>
      <c r="E47" s="36"/>
      <c r="F47" s="2">
        <f>F18*F4</f>
        <v>264673.8</v>
      </c>
    </row>
    <row r="48" spans="2:6" ht="16.5" customHeight="1">
      <c r="B48" s="34" t="s">
        <v>30</v>
      </c>
      <c r="C48" s="34"/>
      <c r="D48" s="34"/>
      <c r="E48" s="34"/>
      <c r="F48" s="4">
        <f>F32/F47 *100</f>
        <v>194.04033852236222</v>
      </c>
    </row>
    <row r="49" spans="2:7" ht="15" customHeight="1">
      <c r="B49" s="13" t="s">
        <v>31</v>
      </c>
      <c r="C49" s="14"/>
      <c r="D49" s="14"/>
      <c r="E49" s="14"/>
      <c r="F49" s="14"/>
      <c r="G49" s="15"/>
    </row>
    <row r="50" spans="2:7" ht="15" customHeight="1">
      <c r="B50" s="13" t="s">
        <v>32</v>
      </c>
      <c r="C50" s="14"/>
      <c r="D50" s="14"/>
      <c r="E50" s="14"/>
      <c r="F50" s="14"/>
      <c r="G50" s="15"/>
    </row>
    <row r="51" spans="2:7" ht="15" customHeight="1">
      <c r="B51" s="16"/>
    </row>
  </sheetData>
  <mergeCells count="44"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F20"/>
    <mergeCell ref="B21:F21"/>
    <mergeCell ref="B22:F22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5:E45"/>
    <mergeCell ref="B46:E46"/>
    <mergeCell ref="B47:E47"/>
    <mergeCell ref="B48:E48"/>
    <mergeCell ref="B40:E40"/>
    <mergeCell ref="B41:E41"/>
    <mergeCell ref="B42:E42"/>
    <mergeCell ref="B43:E43"/>
    <mergeCell ref="B44:E4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43"/>
  <sheetViews>
    <sheetView showGridLines="0" tabSelected="1" zoomScaleNormal="100" workbookViewId="0">
      <selection activeCell="H7" sqref="H7"/>
    </sheetView>
  </sheetViews>
  <sheetFormatPr defaultColWidth="8.7109375" defaultRowHeight="15"/>
  <cols>
    <col min="1" max="1" width="6" customWidth="1"/>
    <col min="2" max="2" width="26" customWidth="1"/>
    <col min="3" max="3" width="15" customWidth="1"/>
    <col min="4" max="4" width="12" customWidth="1"/>
    <col min="5" max="5" width="15" customWidth="1"/>
    <col min="6" max="6" width="12" customWidth="1"/>
    <col min="7" max="7" width="8" customWidth="1"/>
    <col min="8" max="8" width="14" customWidth="1"/>
    <col min="9" max="9" width="8" customWidth="1"/>
    <col min="10" max="10" width="15" customWidth="1"/>
    <col min="11" max="11" width="4" customWidth="1"/>
    <col min="12" max="13" width="3" customWidth="1"/>
    <col min="14" max="14" width="6" customWidth="1"/>
    <col min="15" max="15" width="12" customWidth="1"/>
  </cols>
  <sheetData>
    <row r="2" spans="1:11" ht="17.25" customHeight="1">
      <c r="B2" s="33" t="s">
        <v>33</v>
      </c>
      <c r="C2" s="33"/>
      <c r="D2" s="17"/>
      <c r="E2" s="33" t="s">
        <v>34</v>
      </c>
      <c r="F2" s="33"/>
      <c r="G2" s="17"/>
      <c r="H2" s="33" t="s">
        <v>35</v>
      </c>
      <c r="I2" s="33"/>
      <c r="J2" s="33" t="s">
        <v>36</v>
      </c>
      <c r="K2" s="33"/>
    </row>
    <row r="3" spans="1:11" ht="17.25" customHeight="1">
      <c r="C3" s="18"/>
      <c r="F3" s="19"/>
      <c r="H3" s="18"/>
      <c r="J3" s="18"/>
    </row>
    <row r="4" spans="1:11" ht="16.5" customHeight="1">
      <c r="A4" s="20" t="s">
        <v>37</v>
      </c>
      <c r="B4" s="21" t="s">
        <v>38</v>
      </c>
      <c r="C4" s="3">
        <v>822000</v>
      </c>
      <c r="E4" s="22">
        <v>4.4400000000000002E-2</v>
      </c>
      <c r="F4" s="21" t="s">
        <v>39</v>
      </c>
      <c r="G4" s="23" t="s">
        <v>37</v>
      </c>
      <c r="H4" s="24">
        <v>0.8</v>
      </c>
    </row>
    <row r="5" spans="1:11" ht="16.5" customHeight="1">
      <c r="A5" s="20" t="s">
        <v>40</v>
      </c>
      <c r="B5" s="21" t="s">
        <v>41</v>
      </c>
      <c r="C5" s="3">
        <v>205000</v>
      </c>
      <c r="E5" s="22">
        <v>1.224E-3</v>
      </c>
      <c r="F5" s="21" t="s">
        <v>42</v>
      </c>
      <c r="G5" s="23" t="s">
        <v>40</v>
      </c>
      <c r="H5" s="24">
        <v>-0.14599999999999999</v>
      </c>
      <c r="I5" s="25" t="s">
        <v>43</v>
      </c>
      <c r="J5" s="3">
        <f>C5*(1.55-H4)</f>
        <v>153750</v>
      </c>
    </row>
    <row r="6" spans="1:11" ht="16.5" customHeight="1">
      <c r="A6" s="20" t="s">
        <v>44</v>
      </c>
      <c r="B6" s="21" t="s">
        <v>45</v>
      </c>
      <c r="C6" s="3">
        <v>1027000</v>
      </c>
      <c r="E6" s="22">
        <v>8.1499999999999997E-4</v>
      </c>
      <c r="F6" s="21" t="s">
        <v>46</v>
      </c>
      <c r="G6" s="23" t="s">
        <v>44</v>
      </c>
      <c r="H6" s="24">
        <v>-3.6999999999999998E-2</v>
      </c>
      <c r="I6" s="25" t="s">
        <v>47</v>
      </c>
      <c r="J6" s="3">
        <f>C6*(1.55-H4)</f>
        <v>770250</v>
      </c>
    </row>
    <row r="7" spans="1:11" ht="16.5" customHeight="1"/>
    <row r="8" spans="1:11" ht="16.5" customHeight="1"/>
    <row r="9" spans="1:11" ht="17.25" customHeight="1">
      <c r="B9" s="32" t="s">
        <v>48</v>
      </c>
      <c r="C9" s="32"/>
      <c r="D9" s="32"/>
    </row>
    <row r="10" spans="1:11" ht="16.5" customHeight="1"/>
    <row r="11" spans="1:11" ht="16.5" customHeight="1">
      <c r="A11" s="23" t="s">
        <v>37</v>
      </c>
      <c r="B11" s="3">
        <f>C4/E4</f>
        <v>18513513.513513513</v>
      </c>
    </row>
    <row r="12" spans="1:11" ht="16.5" customHeight="1">
      <c r="A12" s="23" t="s">
        <v>40</v>
      </c>
      <c r="B12" s="3">
        <f>J5*H6/E6</f>
        <v>-6980061.3496932518</v>
      </c>
    </row>
    <row r="13" spans="1:11" ht="16.5" customHeight="1">
      <c r="A13" s="23" t="s">
        <v>44</v>
      </c>
      <c r="B13" s="3">
        <f>J6*H5/E5</f>
        <v>-91876225.490196079</v>
      </c>
    </row>
    <row r="14" spans="1:11" ht="16.5" customHeight="1"/>
    <row r="15" spans="1:11" ht="16.5" customHeight="1">
      <c r="A15" s="23" t="s">
        <v>49</v>
      </c>
      <c r="B15" s="26">
        <f>B11+B13+B12</f>
        <v>-80342773.326375827</v>
      </c>
    </row>
    <row r="16" spans="1:11" ht="16.5" customHeight="1">
      <c r="A16" s="25" t="s">
        <v>50</v>
      </c>
      <c r="B16" s="27">
        <f>B15/1000000</f>
        <v>-80.342773326375834</v>
      </c>
      <c r="D16" s="19" t="s">
        <v>51</v>
      </c>
    </row>
    <row r="17" spans="1:9" ht="16.5" customHeight="1"/>
    <row r="18" spans="1:9" ht="17.25" customHeight="1">
      <c r="B18" s="32" t="s">
        <v>52</v>
      </c>
      <c r="C18" s="32"/>
      <c r="D18" s="32"/>
      <c r="E18" s="32"/>
      <c r="G18" s="32" t="s">
        <v>53</v>
      </c>
      <c r="H18" s="32"/>
    </row>
    <row r="19" spans="1:9" ht="16.5" customHeight="1">
      <c r="B19" s="20" t="s">
        <v>54</v>
      </c>
      <c r="C19" s="20" t="s">
        <v>55</v>
      </c>
      <c r="D19" s="20" t="s">
        <v>56</v>
      </c>
      <c r="E19" s="20" t="s">
        <v>57</v>
      </c>
      <c r="F19" s="9"/>
      <c r="G19" s="25" t="s">
        <v>58</v>
      </c>
      <c r="H19" s="24">
        <v>0.35</v>
      </c>
      <c r="I19" s="9"/>
    </row>
    <row r="20" spans="1:9" ht="16.5" customHeight="1">
      <c r="G20" s="25" t="s">
        <v>59</v>
      </c>
      <c r="H20" s="24">
        <v>0.45</v>
      </c>
    </row>
    <row r="21" spans="1:9" ht="16.5" customHeight="1">
      <c r="A21" s="20" t="s">
        <v>40</v>
      </c>
      <c r="B21" s="3">
        <v>205000</v>
      </c>
      <c r="C21" s="22">
        <v>1.224E-3</v>
      </c>
      <c r="D21" s="24">
        <v>0.06</v>
      </c>
      <c r="E21" s="22">
        <v>2.16E-3</v>
      </c>
      <c r="G21" s="25" t="s">
        <v>60</v>
      </c>
      <c r="H21" s="24">
        <v>0.28999999999999998</v>
      </c>
    </row>
    <row r="22" spans="1:9" ht="16.5" customHeight="1">
      <c r="A22" s="20" t="s">
        <v>44</v>
      </c>
      <c r="B22" s="3">
        <v>1027000</v>
      </c>
      <c r="C22" s="22">
        <v>8.1499999999999997E-4</v>
      </c>
      <c r="D22" s="24">
        <v>0.06</v>
      </c>
      <c r="E22" s="22">
        <v>2.2049999999999999E-3</v>
      </c>
      <c r="G22" s="25" t="s">
        <v>61</v>
      </c>
      <c r="H22" s="24">
        <v>0.39</v>
      </c>
    </row>
    <row r="23" spans="1:9" ht="16.5" customHeight="1"/>
    <row r="24" spans="1:9" ht="16.5" customHeight="1"/>
    <row r="25" spans="1:9" ht="16.5" customHeight="1"/>
    <row r="26" spans="1:9" ht="16.5" customHeight="1">
      <c r="B26" s="23" t="s">
        <v>62</v>
      </c>
      <c r="D26" s="23" t="s">
        <v>63</v>
      </c>
    </row>
    <row r="27" spans="1:9" ht="16.5" customHeight="1">
      <c r="A27" s="20" t="s">
        <v>40</v>
      </c>
      <c r="B27" s="3">
        <f>(B21*E22)/(C22*D22)</f>
        <v>9243865.0306748468</v>
      </c>
      <c r="D27" s="28">
        <f>B27/1000000</f>
        <v>9.2438650306748471</v>
      </c>
    </row>
    <row r="28" spans="1:9" ht="16.5" customHeight="1">
      <c r="A28" s="20" t="s">
        <v>44</v>
      </c>
      <c r="B28" s="3">
        <f>(B22*E21)/(C21*D21)</f>
        <v>30205882.352941178</v>
      </c>
      <c r="D28" s="28">
        <f>B28/1000000</f>
        <v>30.205882352941178</v>
      </c>
    </row>
    <row r="29" spans="1:9" ht="16.5" customHeight="1"/>
    <row r="30" spans="1:9" ht="16.5" customHeight="1"/>
    <row r="31" spans="1:9" ht="16.5" customHeight="1"/>
    <row r="32" spans="1:9" ht="17.25" customHeight="1">
      <c r="B32" s="32" t="s">
        <v>64</v>
      </c>
      <c r="C32" s="32"/>
      <c r="D32" s="32"/>
      <c r="E32" s="32"/>
      <c r="F32" s="32"/>
      <c r="G32" s="32"/>
    </row>
    <row r="33" spans="2:5" ht="16.5" customHeight="1"/>
    <row r="34" spans="2:5" ht="16.5" customHeight="1">
      <c r="B34" s="3">
        <f>B11-B12</f>
        <v>25493574.863206767</v>
      </c>
      <c r="C34" s="29">
        <f>B34^2</f>
        <v>649922359305927.88</v>
      </c>
      <c r="E34" s="29">
        <f>B27^2</f>
        <v>85449040705333.281</v>
      </c>
    </row>
    <row r="35" spans="2:5" ht="16.5" customHeight="1">
      <c r="B35" s="3">
        <f>B12-B13</f>
        <v>84896164.140502825</v>
      </c>
      <c r="C35" s="29">
        <f>B35^2</f>
        <v>7207358685771198</v>
      </c>
      <c r="E35" s="29">
        <f>B28^2</f>
        <v>912395328719723.25</v>
      </c>
    </row>
    <row r="36" spans="2:5" ht="16.5" customHeight="1">
      <c r="B36" s="3">
        <f>B13-B11</f>
        <v>-110389739.00370958</v>
      </c>
      <c r="C36" s="29">
        <f>B36^2</f>
        <v>1.2185894477307122E+16</v>
      </c>
      <c r="E36" s="29"/>
    </row>
    <row r="37" spans="2:5" ht="16.5" customHeight="1"/>
    <row r="38" spans="2:5" ht="16.5" customHeight="1">
      <c r="C38" s="30">
        <f>C34+C35+C36</f>
        <v>2.0043175522384248E+16</v>
      </c>
      <c r="E38" s="30">
        <f>E34+E35</f>
        <v>997844369425056.5</v>
      </c>
    </row>
    <row r="39" spans="2:5" ht="16.5" customHeight="1">
      <c r="C39" s="29">
        <f>C38/2</f>
        <v>1.0021587761192124E+16</v>
      </c>
      <c r="E39" s="29">
        <f>3*E38</f>
        <v>2993533108275169.5</v>
      </c>
    </row>
    <row r="40" spans="2:5" ht="16.5" customHeight="1"/>
    <row r="41" spans="2:5" ht="16.5" customHeight="1">
      <c r="B41" s="30">
        <f>C39+E39</f>
        <v>1.3015120869467294E+16</v>
      </c>
    </row>
    <row r="42" spans="2:5" ht="16.5">
      <c r="B42" s="26">
        <f>SQRT(B41)</f>
        <v>114083832.63840365</v>
      </c>
    </row>
    <row r="43" spans="2:5" ht="16.5">
      <c r="B43" s="31">
        <f>B42/1000000</f>
        <v>114.08383263840365</v>
      </c>
      <c r="C43" s="19" t="s">
        <v>65</v>
      </c>
    </row>
  </sheetData>
  <mergeCells count="8">
    <mergeCell ref="H2:I2"/>
    <mergeCell ref="J2:K2"/>
    <mergeCell ref="G18:H18"/>
    <mergeCell ref="B9:D9"/>
    <mergeCell ref="B18:E18"/>
    <mergeCell ref="B32:G32"/>
    <mergeCell ref="B2:C2"/>
    <mergeCell ref="E2:F2"/>
  </mergeCells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2026-07-26T19:48:00Z</dcterms:created>
  <dcterms:modified xsi:type="dcterms:W3CDTF">2026-08-27T17:08:39Z</dcterms:modified>
  <cp:category/>
  <cp:contentStatus/>
</cp:coreProperties>
</file>